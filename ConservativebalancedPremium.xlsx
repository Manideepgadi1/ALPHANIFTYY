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8_{B9EAAC3C-AEF0-4AE4-94A1-D98D10D1CCFF}" xr6:coauthVersionLast="47" xr6:coauthVersionMax="47" xr10:uidLastSave="{00000000-0000-0000-0000-000000000000}"/>
  <bookViews>
    <workbookView xWindow="-108" yWindow="-108" windowWidth="23256" windowHeight="12456" xr2:uid="{636876EE-324D-4135-BE1D-2FBAC09AE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</calcChain>
</file>

<file path=xl/sharedStrings.xml><?xml version="1.0" encoding="utf-8"?>
<sst xmlns="http://schemas.openxmlformats.org/spreadsheetml/2006/main" count="4" uniqueCount="4">
  <si>
    <t>Date</t>
  </si>
  <si>
    <t>Nifty 50</t>
  </si>
  <si>
    <t>Smart SIP</t>
  </si>
  <si>
    <t>Basket 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</si>
</sst>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177F-9D38-40BF-83D2-CFF50ECFCF26}">
  <dimension ref="A1:F157"/>
  <sheetViews>
    <sheetView tabSelected="1" workbookViewId="0"/>
  </sheetViews>
  <sheetFormatPr defaultColWidth="10.21875" defaultRowHeight="14.4" x14ac:dyDescent="0.3"/>
  <cols>
    <col min="1" max="1" width="10.33203125" style="1" bestFit="1" customWidth="1"/>
    <col min="2" max="2" width="10.33203125" style="2" bestFit="1" customWidth="1"/>
    <col min="3" max="3" width="7" style="2" bestFit="1" customWidth="1"/>
    <col min="4" max="4" width="8.6640625" style="2" bestFit="1" customWidth="1"/>
  </cols>
  <sheetData>
    <row r="1" spans="1:6" x14ac:dyDescent="0.3">
      <c r="A1" s="1" t="s">
        <v>0</v>
      </c>
      <c r="B1" s="2" t="s">
        <v>3</v>
      </c>
      <c r="C1" s="2" t="s">
        <v>1</v>
      </c>
      <c r="D1" s="2" t="s">
        <v>2</v>
      </c>
    </row>
    <row r="2" spans="1:6" x14ac:dyDescent="0.3">
      <c r="A2" s="1">
        <v>41306</v>
      </c>
      <c r="B2" s="2">
        <v>100</v>
      </c>
      <c r="C2" s="2">
        <v>100</v>
      </c>
      <c r="D2" s="2">
        <f>100*(B2/100)^(LN(2*614/100)/LN(614/100))</f>
        <v>100</v>
      </c>
      <c r="F2" s="2"/>
    </row>
    <row r="3" spans="1:6" x14ac:dyDescent="0.3">
      <c r="A3" s="1">
        <v>41334</v>
      </c>
      <c r="B3" s="2">
        <v>101.01615074024227</v>
      </c>
      <c r="C3" s="2">
        <v>101.7</v>
      </c>
      <c r="D3" s="2">
        <f t="shared" ref="D3:D66" si="0">100*(B3/100)^(LN(2*614/100)/LN(614/100))</f>
        <v>101.40697475425098</v>
      </c>
    </row>
    <row r="4" spans="1:6" x14ac:dyDescent="0.3">
      <c r="A4" s="1">
        <v>41365</v>
      </c>
      <c r="B4" s="2">
        <v>99.663526244952891</v>
      </c>
      <c r="C4" s="2">
        <v>100.5</v>
      </c>
      <c r="D4" s="2">
        <f t="shared" si="0"/>
        <v>99.535313740470045</v>
      </c>
      <c r="F4" s="2"/>
    </row>
    <row r="5" spans="1:6" x14ac:dyDescent="0.3">
      <c r="A5" s="1">
        <v>41395</v>
      </c>
      <c r="B5" s="2">
        <v>102.5706594885599</v>
      </c>
      <c r="C5" s="2">
        <v>101.44999999999999</v>
      </c>
      <c r="D5" s="2">
        <f t="shared" si="0"/>
        <v>103.56983552380905</v>
      </c>
    </row>
    <row r="6" spans="1:6" x14ac:dyDescent="0.3">
      <c r="A6" s="1">
        <v>41426</v>
      </c>
      <c r="B6" s="2">
        <v>105.45760430686406</v>
      </c>
      <c r="C6" s="2">
        <v>108.95</v>
      </c>
      <c r="D6" s="2">
        <f t="shared" si="0"/>
        <v>107.61980133004488</v>
      </c>
    </row>
    <row r="7" spans="1:6" x14ac:dyDescent="0.3">
      <c r="A7" s="1">
        <v>41456</v>
      </c>
      <c r="B7" s="2">
        <v>106.39973082099597</v>
      </c>
      <c r="C7" s="2">
        <v>109.75</v>
      </c>
      <c r="D7" s="2">
        <f t="shared" si="0"/>
        <v>108.95071666960361</v>
      </c>
    </row>
    <row r="8" spans="1:6" x14ac:dyDescent="0.3">
      <c r="A8" s="1">
        <v>41487</v>
      </c>
      <c r="B8" s="2">
        <v>109.87886944818304</v>
      </c>
      <c r="C8" s="2">
        <v>113.4</v>
      </c>
      <c r="D8" s="2">
        <f t="shared" si="0"/>
        <v>113.90447526153255</v>
      </c>
    </row>
    <row r="9" spans="1:6" x14ac:dyDescent="0.3">
      <c r="A9" s="1">
        <v>41518</v>
      </c>
      <c r="B9" s="2">
        <v>111.43337819650068</v>
      </c>
      <c r="C9" s="2">
        <v>114.80000000000001</v>
      </c>
      <c r="D9" s="2">
        <f t="shared" si="0"/>
        <v>116.13741046943788</v>
      </c>
    </row>
    <row r="10" spans="1:6" x14ac:dyDescent="0.3">
      <c r="A10" s="1">
        <v>41548</v>
      </c>
      <c r="B10" s="2">
        <v>113.15612382234185</v>
      </c>
      <c r="C10" s="2">
        <v>122.35</v>
      </c>
      <c r="D10" s="2">
        <f t="shared" si="0"/>
        <v>118.62593671960452</v>
      </c>
    </row>
    <row r="11" spans="1:6" x14ac:dyDescent="0.3">
      <c r="A11" s="1">
        <v>41579</v>
      </c>
      <c r="B11" s="2">
        <v>114.52893674293405</v>
      </c>
      <c r="C11" s="2">
        <v>124.05</v>
      </c>
      <c r="D11" s="2">
        <f t="shared" si="0"/>
        <v>120.61937803394297</v>
      </c>
    </row>
    <row r="12" spans="1:6" x14ac:dyDescent="0.3">
      <c r="A12" s="1">
        <v>41609</v>
      </c>
      <c r="B12" s="2">
        <v>114.05787348586811</v>
      </c>
      <c r="C12" s="2">
        <v>113.7</v>
      </c>
      <c r="D12" s="2">
        <f t="shared" si="0"/>
        <v>119.9343197539841</v>
      </c>
    </row>
    <row r="13" spans="1:6" x14ac:dyDescent="0.3">
      <c r="A13" s="1">
        <v>41640</v>
      </c>
      <c r="B13" s="2">
        <v>111.97173620457606</v>
      </c>
      <c r="C13" s="2">
        <v>118.35</v>
      </c>
      <c r="D13" s="2">
        <f t="shared" si="0"/>
        <v>116.91350763697315</v>
      </c>
    </row>
    <row r="14" spans="1:6" x14ac:dyDescent="0.3">
      <c r="A14" s="1">
        <v>41671</v>
      </c>
      <c r="B14" s="2">
        <v>113.04845222072679</v>
      </c>
      <c r="C14" s="2">
        <v>122.85</v>
      </c>
      <c r="D14" s="2">
        <f t="shared" si="0"/>
        <v>118.46997722999856</v>
      </c>
    </row>
    <row r="15" spans="1:6" x14ac:dyDescent="0.3">
      <c r="A15" s="1">
        <v>41699</v>
      </c>
      <c r="B15" s="2">
        <v>116.99192462987887</v>
      </c>
      <c r="C15" s="2">
        <v>126.05</v>
      </c>
      <c r="D15" s="2">
        <f t="shared" si="0"/>
        <v>124.21872931384085</v>
      </c>
    </row>
    <row r="16" spans="1:6" x14ac:dyDescent="0.3">
      <c r="A16" s="1">
        <v>41730</v>
      </c>
      <c r="B16" s="2">
        <v>115.90174966352625</v>
      </c>
      <c r="C16" s="2">
        <v>132.85</v>
      </c>
      <c r="D16" s="2">
        <f t="shared" si="0"/>
        <v>122.62196665605221</v>
      </c>
    </row>
    <row r="17" spans="1:4" x14ac:dyDescent="0.3">
      <c r="A17" s="1">
        <v>41760</v>
      </c>
      <c r="B17" s="2">
        <v>117.28129205921938</v>
      </c>
      <c r="C17" s="2">
        <v>139.65</v>
      </c>
      <c r="D17" s="2">
        <f t="shared" si="0"/>
        <v>124.64351884322838</v>
      </c>
    </row>
    <row r="18" spans="1:4" x14ac:dyDescent="0.3">
      <c r="A18" s="1">
        <v>41791</v>
      </c>
      <c r="B18" s="2">
        <v>120.10767160161507</v>
      </c>
      <c r="C18" s="2">
        <v>143.44999999999999</v>
      </c>
      <c r="D18" s="2">
        <f t="shared" si="0"/>
        <v>128.81359270355841</v>
      </c>
    </row>
    <row r="19" spans="1:4" x14ac:dyDescent="0.3">
      <c r="A19" s="1">
        <v>41821</v>
      </c>
      <c r="B19" s="2">
        <v>115.86810228802153</v>
      </c>
      <c r="C19" s="2">
        <v>150.65</v>
      </c>
      <c r="D19" s="2">
        <f t="shared" si="0"/>
        <v>122.5727747807329</v>
      </c>
    </row>
    <row r="20" spans="1:4" x14ac:dyDescent="0.3">
      <c r="A20" s="1">
        <v>41852</v>
      </c>
      <c r="B20" s="2">
        <v>117.23418573351279</v>
      </c>
      <c r="C20" s="2">
        <v>153.1</v>
      </c>
      <c r="D20" s="2">
        <f t="shared" si="0"/>
        <v>124.57433975194805</v>
      </c>
    </row>
    <row r="21" spans="1:4" x14ac:dyDescent="0.3">
      <c r="A21" s="1">
        <v>41883</v>
      </c>
      <c r="B21" s="2">
        <v>119.82503364737549</v>
      </c>
      <c r="C21" s="2">
        <v>146.6</v>
      </c>
      <c r="D21" s="2">
        <f t="shared" si="0"/>
        <v>128.39488196425884</v>
      </c>
    </row>
    <row r="22" spans="1:4" x14ac:dyDescent="0.3">
      <c r="A22" s="1">
        <v>41913</v>
      </c>
      <c r="B22" s="2">
        <v>122.08613728129207</v>
      </c>
      <c r="C22" s="2">
        <v>153.5</v>
      </c>
      <c r="D22" s="2">
        <f t="shared" si="0"/>
        <v>131.75507929806975</v>
      </c>
    </row>
    <row r="23" spans="1:4" x14ac:dyDescent="0.3">
      <c r="A23" s="1">
        <v>41944</v>
      </c>
      <c r="B23" s="2">
        <v>120.68640646029611</v>
      </c>
      <c r="C23" s="2">
        <v>157.60000000000002</v>
      </c>
      <c r="D23" s="2">
        <f t="shared" si="0"/>
        <v>129.67212692842602</v>
      </c>
    </row>
    <row r="24" spans="1:4" x14ac:dyDescent="0.3">
      <c r="A24" s="1">
        <v>41974</v>
      </c>
      <c r="B24" s="2">
        <v>125.86810228802155</v>
      </c>
      <c r="C24" s="2">
        <v>162.94999999999999</v>
      </c>
      <c r="D24" s="2">
        <f t="shared" si="0"/>
        <v>137.42859183918813</v>
      </c>
    </row>
    <row r="25" spans="1:4" x14ac:dyDescent="0.3">
      <c r="A25" s="1">
        <v>42005</v>
      </c>
      <c r="B25" s="2">
        <v>134.15881561238223</v>
      </c>
      <c r="C25" s="2">
        <v>167.39999999999998</v>
      </c>
      <c r="D25" s="2">
        <f t="shared" si="0"/>
        <v>150.0934042188583</v>
      </c>
    </row>
    <row r="26" spans="1:4" x14ac:dyDescent="0.3">
      <c r="A26" s="1">
        <v>42036</v>
      </c>
      <c r="B26" s="2">
        <v>136.4872139973082</v>
      </c>
      <c r="C26" s="2">
        <v>165.7</v>
      </c>
      <c r="D26" s="2">
        <f t="shared" si="0"/>
        <v>153.70517010413184</v>
      </c>
    </row>
    <row r="27" spans="1:4" x14ac:dyDescent="0.3">
      <c r="A27" s="1">
        <v>42064</v>
      </c>
      <c r="B27" s="2">
        <v>137.50336473755047</v>
      </c>
      <c r="C27" s="2">
        <v>175.75</v>
      </c>
      <c r="D27" s="2">
        <f t="shared" si="0"/>
        <v>155.2888182821398</v>
      </c>
    </row>
    <row r="28" spans="1:4" x14ac:dyDescent="0.3">
      <c r="A28" s="1">
        <v>42095</v>
      </c>
      <c r="B28" s="2">
        <v>135.79407806191116</v>
      </c>
      <c r="C28" s="2">
        <v>191.7</v>
      </c>
      <c r="D28" s="2">
        <f t="shared" si="0"/>
        <v>152.62751182235081</v>
      </c>
    </row>
    <row r="29" spans="1:4" x14ac:dyDescent="0.3">
      <c r="A29" s="1">
        <v>42125</v>
      </c>
      <c r="B29" s="2">
        <v>135.95558546433378</v>
      </c>
      <c r="C29" s="2">
        <v>197.95</v>
      </c>
      <c r="D29" s="2">
        <f t="shared" si="0"/>
        <v>152.87842935583205</v>
      </c>
    </row>
    <row r="30" spans="1:4" x14ac:dyDescent="0.3">
      <c r="A30" s="1">
        <v>42156</v>
      </c>
      <c r="B30" s="2">
        <v>137.48990578734859</v>
      </c>
      <c r="C30" s="2">
        <v>200</v>
      </c>
      <c r="D30" s="2">
        <f t="shared" si="0"/>
        <v>155.26781351330908</v>
      </c>
    </row>
    <row r="31" spans="1:4" x14ac:dyDescent="0.3">
      <c r="A31" s="1">
        <v>42186</v>
      </c>
      <c r="B31" s="2">
        <v>137.8600269179004</v>
      </c>
      <c r="C31" s="2">
        <v>196.05</v>
      </c>
      <c r="D31" s="2">
        <f t="shared" si="0"/>
        <v>155.84573063906362</v>
      </c>
    </row>
    <row r="32" spans="1:4" x14ac:dyDescent="0.3">
      <c r="A32" s="1">
        <v>42217</v>
      </c>
      <c r="B32" s="2">
        <v>142.64468371467024</v>
      </c>
      <c r="C32" s="2">
        <v>186.05</v>
      </c>
      <c r="D32" s="2">
        <f t="shared" si="0"/>
        <v>163.36964945527137</v>
      </c>
    </row>
    <row r="33" spans="1:4" x14ac:dyDescent="0.3">
      <c r="A33" s="1">
        <v>42248</v>
      </c>
      <c r="B33" s="2">
        <v>144.46164199192461</v>
      </c>
      <c r="C33" s="2">
        <v>175.8</v>
      </c>
      <c r="D33" s="2">
        <f t="shared" si="0"/>
        <v>166.2523604247925</v>
      </c>
    </row>
    <row r="34" spans="1:4" x14ac:dyDescent="0.3">
      <c r="A34" s="1">
        <v>42278</v>
      </c>
      <c r="B34" s="2">
        <v>143.52624495289368</v>
      </c>
      <c r="C34" s="2">
        <v>173.75</v>
      </c>
      <c r="D34" s="2">
        <f t="shared" si="0"/>
        <v>164.7665576208087</v>
      </c>
    </row>
    <row r="35" spans="1:4" x14ac:dyDescent="0.3">
      <c r="A35" s="1">
        <v>42309</v>
      </c>
      <c r="B35" s="2">
        <v>146.90444145356662</v>
      </c>
      <c r="C35" s="2">
        <v>180.14999999999998</v>
      </c>
      <c r="D35" s="2">
        <f t="shared" si="0"/>
        <v>170.14986288719595</v>
      </c>
    </row>
    <row r="36" spans="1:4" x14ac:dyDescent="0.3">
      <c r="A36" s="1">
        <v>42339</v>
      </c>
      <c r="B36" s="2">
        <v>148.28398384925976</v>
      </c>
      <c r="C36" s="2">
        <v>165.2</v>
      </c>
      <c r="D36" s="2">
        <f t="shared" si="0"/>
        <v>172.36192005238888</v>
      </c>
    </row>
    <row r="37" spans="1:4" x14ac:dyDescent="0.3">
      <c r="A37" s="1">
        <v>42370</v>
      </c>
      <c r="B37" s="2">
        <v>144.46164199192461</v>
      </c>
      <c r="C37" s="2">
        <v>157.10000000000002</v>
      </c>
      <c r="D37" s="2">
        <f t="shared" si="0"/>
        <v>166.2523604247925</v>
      </c>
    </row>
    <row r="38" spans="1:4" x14ac:dyDescent="0.3">
      <c r="A38" s="1">
        <v>42401</v>
      </c>
      <c r="B38" s="2">
        <v>140.67967698519516</v>
      </c>
      <c r="C38" s="2">
        <v>161.65</v>
      </c>
      <c r="D38" s="2">
        <f t="shared" si="0"/>
        <v>160.26780125848757</v>
      </c>
    </row>
    <row r="39" spans="1:4" x14ac:dyDescent="0.3">
      <c r="A39" s="1">
        <v>42430</v>
      </c>
      <c r="B39" s="2">
        <v>138.34454912516824</v>
      </c>
      <c r="C39" s="2">
        <v>154.35</v>
      </c>
      <c r="D39" s="2">
        <f t="shared" si="0"/>
        <v>156.60317266085335</v>
      </c>
    </row>
    <row r="40" spans="1:4" x14ac:dyDescent="0.3">
      <c r="A40" s="1">
        <v>42461</v>
      </c>
      <c r="B40" s="2">
        <v>142.34185733512786</v>
      </c>
      <c r="C40" s="2">
        <v>135.85</v>
      </c>
      <c r="D40" s="2">
        <f t="shared" si="0"/>
        <v>162.89055484202311</v>
      </c>
    </row>
    <row r="41" spans="1:4" x14ac:dyDescent="0.3">
      <c r="A41" s="1">
        <v>42491</v>
      </c>
      <c r="B41" s="2">
        <v>141.4872139973082</v>
      </c>
      <c r="C41" s="2">
        <v>129.25</v>
      </c>
      <c r="D41" s="2">
        <f t="shared" si="0"/>
        <v>161.5405438731068</v>
      </c>
    </row>
    <row r="42" spans="1:4" x14ac:dyDescent="0.3">
      <c r="A42" s="1">
        <v>42522</v>
      </c>
      <c r="B42" s="2">
        <v>143.97711978465679</v>
      </c>
      <c r="C42" s="2">
        <v>131.35</v>
      </c>
      <c r="D42" s="2">
        <f t="shared" si="0"/>
        <v>165.48227573402971</v>
      </c>
    </row>
    <row r="43" spans="1:4" x14ac:dyDescent="0.3">
      <c r="A43" s="1">
        <v>42552</v>
      </c>
      <c r="B43" s="2">
        <v>145.63257065948855</v>
      </c>
      <c r="C43" s="2">
        <v>133.5</v>
      </c>
      <c r="D43" s="2">
        <f t="shared" si="0"/>
        <v>168.11746974213543</v>
      </c>
    </row>
    <row r="44" spans="1:4" x14ac:dyDescent="0.3">
      <c r="A44" s="1">
        <v>42583</v>
      </c>
      <c r="B44" s="2">
        <v>153.20323014804845</v>
      </c>
      <c r="C44" s="2">
        <v>135.80000000000001</v>
      </c>
      <c r="D44" s="2">
        <f t="shared" si="0"/>
        <v>180.31358143874664</v>
      </c>
    </row>
    <row r="45" spans="1:4" x14ac:dyDescent="0.3">
      <c r="A45" s="1">
        <v>42614</v>
      </c>
      <c r="B45" s="2">
        <v>160.75370121130553</v>
      </c>
      <c r="C45" s="2">
        <v>136.55000000000001</v>
      </c>
      <c r="D45" s="2">
        <f t="shared" si="0"/>
        <v>192.70869611516417</v>
      </c>
    </row>
    <row r="46" spans="1:4" x14ac:dyDescent="0.3">
      <c r="A46" s="1">
        <v>42644</v>
      </c>
      <c r="B46" s="2">
        <v>165.34320323014805</v>
      </c>
      <c r="C46" s="2">
        <v>150.4</v>
      </c>
      <c r="D46" s="2">
        <f t="shared" si="0"/>
        <v>200.35306393165456</v>
      </c>
    </row>
    <row r="47" spans="1:4" x14ac:dyDescent="0.3">
      <c r="A47" s="1">
        <v>42675</v>
      </c>
      <c r="B47" s="2">
        <v>167.05921938088829</v>
      </c>
      <c r="C47" s="2">
        <v>161.85</v>
      </c>
      <c r="D47" s="2">
        <f t="shared" si="0"/>
        <v>203.2322986203377</v>
      </c>
    </row>
    <row r="48" spans="1:4" x14ac:dyDescent="0.3">
      <c r="A48" s="1">
        <v>42705</v>
      </c>
      <c r="B48" s="2">
        <v>163.80888290713324</v>
      </c>
      <c r="C48" s="2">
        <v>169.95</v>
      </c>
      <c r="D48" s="2">
        <f t="shared" si="0"/>
        <v>197.78833259588725</v>
      </c>
    </row>
    <row r="49" spans="1:4" x14ac:dyDescent="0.3">
      <c r="A49" s="1">
        <v>42736</v>
      </c>
      <c r="B49" s="2">
        <v>162.27456258411846</v>
      </c>
      <c r="C49" s="2">
        <v>166.85000000000002</v>
      </c>
      <c r="D49" s="2">
        <f t="shared" si="0"/>
        <v>195.23276008532537</v>
      </c>
    </row>
    <row r="50" spans="1:4" x14ac:dyDescent="0.3">
      <c r="A50" s="1">
        <v>42767</v>
      </c>
      <c r="B50" s="2">
        <v>169.97308209959624</v>
      </c>
      <c r="C50" s="2">
        <v>174.55</v>
      </c>
      <c r="D50" s="2">
        <f t="shared" si="0"/>
        <v>208.14724045523505</v>
      </c>
    </row>
    <row r="51" spans="1:4" x14ac:dyDescent="0.3">
      <c r="A51" s="1">
        <v>42795</v>
      </c>
      <c r="B51" s="2">
        <v>178.42530282637955</v>
      </c>
      <c r="C51" s="2">
        <v>184.85</v>
      </c>
      <c r="D51" s="2">
        <f t="shared" si="0"/>
        <v>222.58543818677629</v>
      </c>
    </row>
    <row r="52" spans="1:4" x14ac:dyDescent="0.3">
      <c r="A52" s="1">
        <v>42826</v>
      </c>
      <c r="B52" s="2">
        <v>185.34320323014805</v>
      </c>
      <c r="C52" s="2">
        <v>189.95</v>
      </c>
      <c r="D52" s="2">
        <f t="shared" si="0"/>
        <v>234.59926163054473</v>
      </c>
    </row>
    <row r="53" spans="1:4" x14ac:dyDescent="0.3">
      <c r="A53" s="1">
        <v>42856</v>
      </c>
      <c r="B53" s="2">
        <v>197.67833109017496</v>
      </c>
      <c r="C53" s="2">
        <v>190.05</v>
      </c>
      <c r="D53" s="2">
        <f t="shared" si="0"/>
        <v>256.44635638162134</v>
      </c>
    </row>
    <row r="54" spans="1:4" x14ac:dyDescent="0.3">
      <c r="A54" s="1">
        <v>42887</v>
      </c>
      <c r="B54" s="2">
        <v>201.36608344549126</v>
      </c>
      <c r="C54" s="2">
        <v>195.8</v>
      </c>
      <c r="D54" s="2">
        <f t="shared" si="0"/>
        <v>263.08112480106399</v>
      </c>
    </row>
    <row r="55" spans="1:4" x14ac:dyDescent="0.3">
      <c r="A55" s="1">
        <v>42917</v>
      </c>
      <c r="B55" s="2">
        <v>203.74831763122475</v>
      </c>
      <c r="C55" s="2">
        <v>198.5</v>
      </c>
      <c r="D55" s="2">
        <f t="shared" si="0"/>
        <v>267.39188122824771</v>
      </c>
    </row>
    <row r="56" spans="1:4" x14ac:dyDescent="0.3">
      <c r="A56" s="1">
        <v>42948</v>
      </c>
      <c r="B56" s="2">
        <v>210.07402422611037</v>
      </c>
      <c r="C56" s="2">
        <v>194.05</v>
      </c>
      <c r="D56" s="2">
        <f t="shared" si="0"/>
        <v>278.93178886246852</v>
      </c>
    </row>
    <row r="57" spans="1:4" x14ac:dyDescent="0.3">
      <c r="A57" s="1">
        <v>42979</v>
      </c>
      <c r="B57" s="2">
        <v>211.8102288021534</v>
      </c>
      <c r="C57" s="2">
        <v>202.15</v>
      </c>
      <c r="D57" s="2">
        <f t="shared" si="0"/>
        <v>282.12257926546596</v>
      </c>
    </row>
    <row r="58" spans="1:4" x14ac:dyDescent="0.3">
      <c r="A58" s="1">
        <v>43009</v>
      </c>
      <c r="B58" s="2">
        <v>219.69717362045759</v>
      </c>
      <c r="C58" s="2">
        <v>205.7</v>
      </c>
      <c r="D58" s="2">
        <f t="shared" si="0"/>
        <v>296.74239178403707</v>
      </c>
    </row>
    <row r="59" spans="1:4" x14ac:dyDescent="0.3">
      <c r="A59" s="1">
        <v>43040</v>
      </c>
      <c r="B59" s="2">
        <v>221.44010767160162</v>
      </c>
      <c r="C59" s="2">
        <v>201.8</v>
      </c>
      <c r="D59" s="2">
        <f t="shared" si="0"/>
        <v>300.0006121293859</v>
      </c>
    </row>
    <row r="60" spans="1:4" x14ac:dyDescent="0.3">
      <c r="A60" s="1">
        <v>43070</v>
      </c>
      <c r="B60" s="2">
        <v>226.27860026917901</v>
      </c>
      <c r="C60" s="2">
        <v>207.05</v>
      </c>
      <c r="D60" s="2">
        <f t="shared" si="0"/>
        <v>309.09690140576726</v>
      </c>
    </row>
    <row r="61" spans="1:4" x14ac:dyDescent="0.3">
      <c r="A61" s="1">
        <v>43101</v>
      </c>
      <c r="B61" s="2">
        <v>232.98788694481831</v>
      </c>
      <c r="C61" s="2">
        <v>211.15</v>
      </c>
      <c r="D61" s="2">
        <f t="shared" si="0"/>
        <v>321.83348376678566</v>
      </c>
    </row>
    <row r="62" spans="1:4" x14ac:dyDescent="0.3">
      <c r="A62" s="1">
        <v>43132</v>
      </c>
      <c r="B62" s="2">
        <v>233.47240915208616</v>
      </c>
      <c r="C62" s="2">
        <v>217.3</v>
      </c>
      <c r="D62" s="2">
        <f t="shared" si="0"/>
        <v>322.75876108473693</v>
      </c>
    </row>
    <row r="63" spans="1:4" x14ac:dyDescent="0.3">
      <c r="A63" s="1">
        <v>43160</v>
      </c>
      <c r="B63" s="2">
        <v>229.66352624495289</v>
      </c>
      <c r="C63" s="2">
        <v>222.9</v>
      </c>
      <c r="D63" s="2">
        <f t="shared" si="0"/>
        <v>315.50491490341221</v>
      </c>
    </row>
    <row r="64" spans="1:4" x14ac:dyDescent="0.3">
      <c r="A64" s="1">
        <v>43191</v>
      </c>
      <c r="B64" s="2">
        <v>227.55047106325708</v>
      </c>
      <c r="C64" s="2">
        <v>227.1</v>
      </c>
      <c r="D64" s="2">
        <f t="shared" si="0"/>
        <v>311.5004202058268</v>
      </c>
    </row>
    <row r="65" spans="1:4" x14ac:dyDescent="0.3">
      <c r="A65" s="1">
        <v>43221</v>
      </c>
      <c r="B65" s="2">
        <v>228.32436069986542</v>
      </c>
      <c r="C65" s="2">
        <v>228.35000000000002</v>
      </c>
      <c r="D65" s="2">
        <f t="shared" si="0"/>
        <v>312.96539341274041</v>
      </c>
    </row>
    <row r="66" spans="1:4" x14ac:dyDescent="0.3">
      <c r="A66" s="1">
        <v>43252</v>
      </c>
      <c r="B66" s="2">
        <v>230.26244952893674</v>
      </c>
      <c r="C66" s="2">
        <v>228.45000000000002</v>
      </c>
      <c r="D66" s="2">
        <f t="shared" si="0"/>
        <v>316.64251439757913</v>
      </c>
    </row>
    <row r="67" spans="1:4" x14ac:dyDescent="0.3">
      <c r="A67" s="1">
        <v>43282</v>
      </c>
      <c r="B67" s="2">
        <v>229.32032301480484</v>
      </c>
      <c r="C67" s="2">
        <v>225.35000000000002</v>
      </c>
      <c r="D67" s="2">
        <f t="shared" ref="D67:D130" si="1">100*(B67/100)^(LN(2*614/100)/LN(614/100))</f>
        <v>314.85354235472181</v>
      </c>
    </row>
    <row r="68" spans="1:4" x14ac:dyDescent="0.3">
      <c r="A68" s="1">
        <v>43313</v>
      </c>
      <c r="B68" s="2">
        <v>226.60161507402427</v>
      </c>
      <c r="C68" s="2">
        <v>219</v>
      </c>
      <c r="D68" s="2">
        <f t="shared" si="1"/>
        <v>309.70683129465488</v>
      </c>
    </row>
    <row r="69" spans="1:4" x14ac:dyDescent="0.3">
      <c r="A69" s="1">
        <v>43344</v>
      </c>
      <c r="B69" s="2">
        <v>234.6433378196501</v>
      </c>
      <c r="C69" s="2">
        <v>226.75</v>
      </c>
      <c r="D69" s="2">
        <f t="shared" si="1"/>
        <v>324.99787512837321</v>
      </c>
    </row>
    <row r="70" spans="1:4" x14ac:dyDescent="0.3">
      <c r="A70" s="1">
        <v>43374</v>
      </c>
      <c r="B70" s="2">
        <v>229.86541049798114</v>
      </c>
      <c r="C70" s="2">
        <v>232.45</v>
      </c>
      <c r="D70" s="2">
        <f t="shared" si="1"/>
        <v>315.88824896408124</v>
      </c>
    </row>
    <row r="71" spans="1:4" x14ac:dyDescent="0.3">
      <c r="A71" s="1">
        <v>43405</v>
      </c>
      <c r="B71" s="2">
        <v>223.05518169582771</v>
      </c>
      <c r="C71" s="2">
        <v>216.65</v>
      </c>
      <c r="D71" s="2">
        <f t="shared" si="1"/>
        <v>303.02857007237043</v>
      </c>
    </row>
    <row r="72" spans="1:4" x14ac:dyDescent="0.3">
      <c r="A72" s="1">
        <v>43435</v>
      </c>
      <c r="B72" s="2">
        <v>221.742934051144</v>
      </c>
      <c r="C72" s="2">
        <v>218.35</v>
      </c>
      <c r="D72" s="2">
        <f t="shared" si="1"/>
        <v>300.56771377994795</v>
      </c>
    </row>
    <row r="73" spans="1:4" x14ac:dyDescent="0.3">
      <c r="A73" s="1">
        <v>43466</v>
      </c>
      <c r="B73" s="2">
        <v>218.52624495289371</v>
      </c>
      <c r="C73" s="2">
        <v>223.10000000000002</v>
      </c>
      <c r="D73" s="2">
        <f t="shared" si="1"/>
        <v>294.55900438660996</v>
      </c>
    </row>
    <row r="74" spans="1:4" x14ac:dyDescent="0.3">
      <c r="A74" s="1">
        <v>43497</v>
      </c>
      <c r="B74" s="2">
        <v>222.50336473755047</v>
      </c>
      <c r="C74" s="2">
        <v>211.05</v>
      </c>
      <c r="D74" s="2">
        <f t="shared" si="1"/>
        <v>301.99307281801731</v>
      </c>
    </row>
    <row r="75" spans="1:4" x14ac:dyDescent="0.3">
      <c r="A75" s="1">
        <v>43525</v>
      </c>
      <c r="B75" s="2">
        <v>228.16958277254375</v>
      </c>
      <c r="C75" s="2">
        <v>210.8</v>
      </c>
      <c r="D75" s="2">
        <f t="shared" si="1"/>
        <v>312.67224682758831</v>
      </c>
    </row>
    <row r="76" spans="1:4" x14ac:dyDescent="0.3">
      <c r="A76" s="1">
        <v>43556</v>
      </c>
      <c r="B76" s="2">
        <v>232.23418573351279</v>
      </c>
      <c r="C76" s="2">
        <v>216.1</v>
      </c>
      <c r="D76" s="2">
        <f t="shared" si="1"/>
        <v>320.39562404019131</v>
      </c>
    </row>
    <row r="77" spans="1:4" x14ac:dyDescent="0.3">
      <c r="A77" s="1">
        <v>43586</v>
      </c>
      <c r="B77" s="2">
        <v>236.55450874831763</v>
      </c>
      <c r="C77" s="2">
        <v>218.89999999999998</v>
      </c>
      <c r="D77" s="2">
        <f t="shared" si="1"/>
        <v>328.66169123185279</v>
      </c>
    </row>
    <row r="78" spans="1:4" x14ac:dyDescent="0.3">
      <c r="A78" s="1">
        <v>43617</v>
      </c>
      <c r="B78" s="2">
        <v>242.95423956931361</v>
      </c>
      <c r="C78" s="2">
        <v>212.9</v>
      </c>
      <c r="D78" s="2">
        <f t="shared" si="1"/>
        <v>341.01243789253215</v>
      </c>
    </row>
    <row r="79" spans="1:4" x14ac:dyDescent="0.3">
      <c r="A79" s="1">
        <v>43647</v>
      </c>
      <c r="B79" s="2">
        <v>248.84253028263799</v>
      </c>
      <c r="C79" s="2">
        <v>218.60000000000002</v>
      </c>
      <c r="D79" s="2">
        <f t="shared" si="1"/>
        <v>352.48653424565674</v>
      </c>
    </row>
    <row r="80" spans="1:4" x14ac:dyDescent="0.3">
      <c r="A80" s="1">
        <v>43678</v>
      </c>
      <c r="B80" s="2">
        <v>248.61372812920592</v>
      </c>
      <c r="C80" s="2">
        <v>227</v>
      </c>
      <c r="D80" s="2">
        <f t="shared" si="1"/>
        <v>352.038728429537</v>
      </c>
    </row>
    <row r="81" spans="1:4" x14ac:dyDescent="0.3">
      <c r="A81" s="1">
        <v>43709</v>
      </c>
      <c r="B81" s="2">
        <v>248.07537012113053</v>
      </c>
      <c r="C81" s="2">
        <v>219.85</v>
      </c>
      <c r="D81" s="2">
        <f t="shared" si="1"/>
        <v>350.98568863728798</v>
      </c>
    </row>
    <row r="82" spans="1:4" x14ac:dyDescent="0.3">
      <c r="A82" s="1">
        <v>43739</v>
      </c>
      <c r="B82" s="2">
        <v>246.40646029609692</v>
      </c>
      <c r="C82" s="2">
        <v>220.45</v>
      </c>
      <c r="D82" s="2">
        <f t="shared" si="1"/>
        <v>347.72681495721912</v>
      </c>
    </row>
    <row r="83" spans="1:4" x14ac:dyDescent="0.3">
      <c r="A83" s="1">
        <v>43770</v>
      </c>
      <c r="B83" s="2">
        <v>251.71601615074027</v>
      </c>
      <c r="C83" s="2">
        <v>216.95</v>
      </c>
      <c r="D83" s="2">
        <f t="shared" si="1"/>
        <v>358.12381090478038</v>
      </c>
    </row>
    <row r="84" spans="1:4" x14ac:dyDescent="0.3">
      <c r="A84" s="1">
        <v>43800</v>
      </c>
      <c r="B84" s="2">
        <v>258.30417227456257</v>
      </c>
      <c r="C84" s="2">
        <v>224.25</v>
      </c>
      <c r="D84" s="2">
        <f t="shared" si="1"/>
        <v>371.14132235588107</v>
      </c>
    </row>
    <row r="85" spans="1:4" x14ac:dyDescent="0.3">
      <c r="A85" s="1">
        <v>43831</v>
      </c>
      <c r="B85" s="2">
        <v>265.52489905787348</v>
      </c>
      <c r="C85" s="2">
        <v>229.45</v>
      </c>
      <c r="D85" s="2">
        <f t="shared" si="1"/>
        <v>385.55503680296567</v>
      </c>
    </row>
    <row r="86" spans="1:4" x14ac:dyDescent="0.3">
      <c r="A86" s="1">
        <v>43862</v>
      </c>
      <c r="B86" s="2">
        <v>270.26244952893677</v>
      </c>
      <c r="C86" s="2">
        <v>233</v>
      </c>
      <c r="D86" s="2">
        <f t="shared" si="1"/>
        <v>395.09386062463011</v>
      </c>
    </row>
    <row r="87" spans="1:4" x14ac:dyDescent="0.3">
      <c r="A87" s="1">
        <v>43891</v>
      </c>
      <c r="B87" s="2">
        <v>265.07402422611034</v>
      </c>
      <c r="C87" s="2">
        <v>234.7</v>
      </c>
      <c r="D87" s="2">
        <f t="shared" si="1"/>
        <v>384.65058756297157</v>
      </c>
    </row>
    <row r="88" spans="1:4" x14ac:dyDescent="0.3">
      <c r="A88" s="1">
        <v>43922</v>
      </c>
      <c r="B88" s="2">
        <v>251.89771197846568</v>
      </c>
      <c r="C88" s="2">
        <v>217.6</v>
      </c>
      <c r="D88" s="2">
        <f t="shared" si="1"/>
        <v>358.48109619303159</v>
      </c>
    </row>
    <row r="89" spans="1:4" x14ac:dyDescent="0.3">
      <c r="A89" s="1">
        <v>43952</v>
      </c>
      <c r="B89" s="2">
        <v>251.32570659488559</v>
      </c>
      <c r="C89" s="2">
        <v>212</v>
      </c>
      <c r="D89" s="2">
        <f t="shared" si="1"/>
        <v>357.35664225078676</v>
      </c>
    </row>
    <row r="90" spans="1:4" x14ac:dyDescent="0.3">
      <c r="A90" s="1">
        <v>43983</v>
      </c>
      <c r="B90" s="2">
        <v>258.65410497981156</v>
      </c>
      <c r="C90" s="2">
        <v>219.75</v>
      </c>
      <c r="D90" s="2">
        <f t="shared" si="1"/>
        <v>371.83633501190229</v>
      </c>
    </row>
    <row r="91" spans="1:4" x14ac:dyDescent="0.3">
      <c r="A91" s="1">
        <v>44013</v>
      </c>
      <c r="B91" s="2">
        <v>265.52489905787348</v>
      </c>
      <c r="C91" s="2">
        <v>230.95</v>
      </c>
      <c r="D91" s="2">
        <f t="shared" si="1"/>
        <v>385.55503680296567</v>
      </c>
    </row>
    <row r="92" spans="1:4" x14ac:dyDescent="0.3">
      <c r="A92" s="1">
        <v>44044</v>
      </c>
      <c r="B92" s="2">
        <v>270.5518169582773</v>
      </c>
      <c r="C92" s="2">
        <v>235.1</v>
      </c>
      <c r="D92" s="2">
        <f t="shared" si="1"/>
        <v>395.67857122570706</v>
      </c>
    </row>
    <row r="93" spans="1:4" x14ac:dyDescent="0.3">
      <c r="A93" s="1">
        <v>44075</v>
      </c>
      <c r="B93" s="2">
        <v>279.67698519515477</v>
      </c>
      <c r="C93" s="2">
        <v>236.25</v>
      </c>
      <c r="D93" s="2">
        <f t="shared" si="1"/>
        <v>414.23909327170281</v>
      </c>
    </row>
    <row r="94" spans="1:4" x14ac:dyDescent="0.3">
      <c r="A94" s="1">
        <v>44105</v>
      </c>
      <c r="B94" s="2">
        <v>288.82907133243606</v>
      </c>
      <c r="C94" s="2">
        <v>235</v>
      </c>
      <c r="D94" s="2">
        <f t="shared" si="1"/>
        <v>433.08816771639619</v>
      </c>
    </row>
    <row r="95" spans="1:4" x14ac:dyDescent="0.3">
      <c r="A95" s="1">
        <v>44136</v>
      </c>
      <c r="B95" s="2">
        <v>294.26648721399732</v>
      </c>
      <c r="C95" s="2">
        <v>247.2</v>
      </c>
      <c r="D95" s="2">
        <f t="shared" si="1"/>
        <v>444.39571711473064</v>
      </c>
    </row>
    <row r="96" spans="1:4" x14ac:dyDescent="0.3">
      <c r="A96" s="1">
        <v>44166</v>
      </c>
      <c r="B96" s="2">
        <v>304.88559892328402</v>
      </c>
      <c r="C96" s="2">
        <v>249.75</v>
      </c>
      <c r="D96" s="2">
        <f t="shared" si="1"/>
        <v>466.70913410023832</v>
      </c>
    </row>
    <row r="97" spans="1:4" x14ac:dyDescent="0.3">
      <c r="A97" s="1">
        <v>44197</v>
      </c>
      <c r="B97" s="2">
        <v>309.5558546433378</v>
      </c>
      <c r="C97" s="2">
        <v>261.60000000000002</v>
      </c>
      <c r="D97" s="2">
        <f t="shared" si="1"/>
        <v>476.61751346041149</v>
      </c>
    </row>
    <row r="98" spans="1:4" x14ac:dyDescent="0.3">
      <c r="A98" s="1">
        <v>44228</v>
      </c>
      <c r="B98" s="2">
        <v>311.2314939434724</v>
      </c>
      <c r="C98" s="2">
        <v>259</v>
      </c>
      <c r="D98" s="2">
        <f t="shared" si="1"/>
        <v>480.18652291106616</v>
      </c>
    </row>
    <row r="99" spans="1:4" x14ac:dyDescent="0.3">
      <c r="A99" s="1">
        <v>44256</v>
      </c>
      <c r="B99" s="2">
        <v>313.2166890982503</v>
      </c>
      <c r="C99" s="2">
        <v>271.79999999999995</v>
      </c>
      <c r="D99" s="2">
        <f t="shared" si="1"/>
        <v>484.42437320911472</v>
      </c>
    </row>
    <row r="100" spans="1:4" x14ac:dyDescent="0.3">
      <c r="A100" s="1">
        <v>44287</v>
      </c>
      <c r="B100" s="2">
        <v>312.4697173620458</v>
      </c>
      <c r="C100" s="2">
        <v>277.5</v>
      </c>
      <c r="D100" s="2">
        <f t="shared" si="1"/>
        <v>482.82858479683767</v>
      </c>
    </row>
    <row r="101" spans="1:4" x14ac:dyDescent="0.3">
      <c r="A101" s="1">
        <v>44317</v>
      </c>
      <c r="B101" s="2">
        <v>314.75100942126517</v>
      </c>
      <c r="C101" s="2">
        <v>276.95</v>
      </c>
      <c r="D101" s="2">
        <f t="shared" si="1"/>
        <v>487.70676774038589</v>
      </c>
    </row>
    <row r="102" spans="1:4" x14ac:dyDescent="0.3">
      <c r="A102" s="1">
        <v>44348</v>
      </c>
      <c r="B102" s="2">
        <v>318.13593539703902</v>
      </c>
      <c r="C102" s="2">
        <v>283</v>
      </c>
      <c r="D102" s="2">
        <f t="shared" si="1"/>
        <v>494.96979792707111</v>
      </c>
    </row>
    <row r="103" spans="1:4" x14ac:dyDescent="0.3">
      <c r="A103" s="1">
        <v>44378</v>
      </c>
      <c r="B103" s="2">
        <v>332.30148048452224</v>
      </c>
      <c r="C103" s="2">
        <v>290.04999999999995</v>
      </c>
      <c r="D103" s="2">
        <f t="shared" si="1"/>
        <v>525.68345366766266</v>
      </c>
    </row>
    <row r="104" spans="1:4" x14ac:dyDescent="0.3">
      <c r="A104" s="1">
        <v>44409</v>
      </c>
      <c r="B104" s="2">
        <v>340.49798115746972</v>
      </c>
      <c r="C104" s="2">
        <v>287.89999999999998</v>
      </c>
      <c r="D104" s="2">
        <f t="shared" si="1"/>
        <v>543.68621556921426</v>
      </c>
    </row>
    <row r="105" spans="1:4" x14ac:dyDescent="0.3">
      <c r="A105" s="1">
        <v>44440</v>
      </c>
      <c r="B105" s="2">
        <v>342.22745625841185</v>
      </c>
      <c r="C105" s="2">
        <v>303.89999999999998</v>
      </c>
      <c r="D105" s="2">
        <f t="shared" si="1"/>
        <v>547.50615682796672</v>
      </c>
    </row>
    <row r="106" spans="1:4" x14ac:dyDescent="0.3">
      <c r="A106" s="1">
        <v>44470</v>
      </c>
      <c r="B106" s="2">
        <v>353.70121130551814</v>
      </c>
      <c r="C106" s="2">
        <v>319.64999999999998</v>
      </c>
      <c r="D106" s="2">
        <f t="shared" si="1"/>
        <v>573.03438069807362</v>
      </c>
    </row>
    <row r="107" spans="1:4" x14ac:dyDescent="0.3">
      <c r="A107" s="1">
        <v>44501</v>
      </c>
      <c r="B107" s="2">
        <v>352.67160161507405</v>
      </c>
      <c r="C107" s="2">
        <v>331.4</v>
      </c>
      <c r="D107" s="2">
        <f t="shared" si="1"/>
        <v>570.73048350455258</v>
      </c>
    </row>
    <row r="108" spans="1:4" x14ac:dyDescent="0.3">
      <c r="A108" s="1">
        <v>44531</v>
      </c>
      <c r="B108" s="2">
        <v>350.78061911170931</v>
      </c>
      <c r="C108" s="2">
        <v>340.6</v>
      </c>
      <c r="D108" s="2">
        <f t="shared" si="1"/>
        <v>566.50583430024653</v>
      </c>
    </row>
    <row r="109" spans="1:4" x14ac:dyDescent="0.3">
      <c r="A109" s="1">
        <v>44562</v>
      </c>
      <c r="B109" s="2">
        <v>345.49125168236878</v>
      </c>
      <c r="C109" s="2">
        <v>339.4</v>
      </c>
      <c r="D109" s="2">
        <f t="shared" si="1"/>
        <v>554.73508248937924</v>
      </c>
    </row>
    <row r="110" spans="1:4" x14ac:dyDescent="0.3">
      <c r="A110" s="1">
        <v>44593</v>
      </c>
      <c r="B110" s="2">
        <v>355.01345895020188</v>
      </c>
      <c r="C110" s="2">
        <v>347.29999999999995</v>
      </c>
      <c r="D110" s="2">
        <f t="shared" si="1"/>
        <v>575.97443442593521</v>
      </c>
    </row>
    <row r="111" spans="1:4" x14ac:dyDescent="0.3">
      <c r="A111" s="1">
        <v>44621</v>
      </c>
      <c r="B111" s="2">
        <v>352.38896366083446</v>
      </c>
      <c r="C111" s="2">
        <v>349.5</v>
      </c>
      <c r="D111" s="2">
        <f t="shared" si="1"/>
        <v>570.09849008547587</v>
      </c>
    </row>
    <row r="112" spans="1:4" x14ac:dyDescent="0.3">
      <c r="A112" s="1">
        <v>44652</v>
      </c>
      <c r="B112" s="2">
        <v>349.81830417227457</v>
      </c>
      <c r="C112" s="2">
        <v>343.6</v>
      </c>
      <c r="D112" s="2">
        <f t="shared" si="1"/>
        <v>564.35925819260456</v>
      </c>
    </row>
    <row r="113" spans="1:4" x14ac:dyDescent="0.3">
      <c r="A113" s="1">
        <v>44682</v>
      </c>
      <c r="B113" s="2">
        <v>352.26783310901749</v>
      </c>
      <c r="C113" s="2">
        <v>360.25</v>
      </c>
      <c r="D113" s="2">
        <f t="shared" si="1"/>
        <v>569.82769501449275</v>
      </c>
    </row>
    <row r="114" spans="1:4" x14ac:dyDescent="0.3">
      <c r="A114" s="1">
        <v>44713</v>
      </c>
      <c r="B114" s="2">
        <v>341.03633916554509</v>
      </c>
      <c r="C114" s="2">
        <v>347.29999999999995</v>
      </c>
      <c r="D114" s="2">
        <f t="shared" si="1"/>
        <v>544.87450984358418</v>
      </c>
    </row>
    <row r="115" spans="1:4" x14ac:dyDescent="0.3">
      <c r="A115" s="1">
        <v>44743</v>
      </c>
      <c r="B115" s="2">
        <v>332.46971736204574</v>
      </c>
      <c r="C115" s="2">
        <v>349.9</v>
      </c>
      <c r="D115" s="2">
        <f t="shared" si="1"/>
        <v>526.0512803174903</v>
      </c>
    </row>
    <row r="116" spans="1:4" x14ac:dyDescent="0.3">
      <c r="A116" s="1">
        <v>44774</v>
      </c>
      <c r="B116" s="2">
        <v>342.93405114401077</v>
      </c>
      <c r="C116" s="2">
        <v>359.15</v>
      </c>
      <c r="D116" s="2">
        <f t="shared" si="1"/>
        <v>549.06895810727428</v>
      </c>
    </row>
    <row r="117" spans="1:4" x14ac:dyDescent="0.3">
      <c r="A117" s="1">
        <v>44805</v>
      </c>
      <c r="B117" s="2">
        <v>350.59219380888294</v>
      </c>
      <c r="C117" s="2">
        <v>369.5</v>
      </c>
      <c r="D117" s="2">
        <f t="shared" si="1"/>
        <v>566.08534839778542</v>
      </c>
    </row>
    <row r="118" spans="1:4" x14ac:dyDescent="0.3">
      <c r="A118" s="1">
        <v>44835</v>
      </c>
      <c r="B118" s="2">
        <v>358.99057873485873</v>
      </c>
      <c r="C118" s="2">
        <v>366.5</v>
      </c>
      <c r="D118" s="2">
        <f t="shared" si="1"/>
        <v>584.91039060455557</v>
      </c>
    </row>
    <row r="119" spans="1:4" x14ac:dyDescent="0.3">
      <c r="A119" s="1">
        <v>44866</v>
      </c>
      <c r="B119" s="2">
        <v>362.26110363391655</v>
      </c>
      <c r="C119" s="2">
        <v>359.35</v>
      </c>
      <c r="D119" s="2">
        <f t="shared" si="1"/>
        <v>592.28714348631217</v>
      </c>
    </row>
    <row r="120" spans="1:4" x14ac:dyDescent="0.3">
      <c r="A120" s="1">
        <v>44896</v>
      </c>
      <c r="B120" s="2">
        <v>370.02018842530282</v>
      </c>
      <c r="C120" s="2">
        <v>366</v>
      </c>
      <c r="D120" s="2">
        <f t="shared" si="1"/>
        <v>609.88963263925336</v>
      </c>
    </row>
    <row r="121" spans="1:4" x14ac:dyDescent="0.3">
      <c r="A121" s="1">
        <v>44927</v>
      </c>
      <c r="B121" s="2">
        <v>363.41184387617767</v>
      </c>
      <c r="C121" s="2">
        <v>373.9</v>
      </c>
      <c r="D121" s="2">
        <f t="shared" si="1"/>
        <v>594.88873483060775</v>
      </c>
    </row>
    <row r="122" spans="1:4" x14ac:dyDescent="0.3">
      <c r="A122" s="1">
        <v>44958</v>
      </c>
      <c r="B122" s="2">
        <v>329.86541049798114</v>
      </c>
      <c r="C122" s="2">
        <v>366.65</v>
      </c>
      <c r="D122" s="2">
        <f t="shared" si="1"/>
        <v>520.36530560764072</v>
      </c>
    </row>
    <row r="123" spans="1:4" x14ac:dyDescent="0.3">
      <c r="A123" s="1">
        <v>44986</v>
      </c>
      <c r="B123" s="2">
        <v>328.7281292059219</v>
      </c>
      <c r="C123" s="2">
        <v>352.9</v>
      </c>
      <c r="D123" s="2">
        <f t="shared" si="1"/>
        <v>517.88764856981425</v>
      </c>
    </row>
    <row r="124" spans="1:4" x14ac:dyDescent="0.3">
      <c r="A124" s="1">
        <v>45017</v>
      </c>
      <c r="B124" s="2">
        <v>331.0632570659489</v>
      </c>
      <c r="C124" s="2">
        <v>356.45000000000005</v>
      </c>
      <c r="D124" s="2">
        <f t="shared" si="1"/>
        <v>522.97843891652121</v>
      </c>
    </row>
    <row r="125" spans="1:4" x14ac:dyDescent="0.3">
      <c r="A125" s="1">
        <v>45047</v>
      </c>
      <c r="B125" s="2">
        <v>348.37146702557203</v>
      </c>
      <c r="C125" s="2">
        <v>354.25</v>
      </c>
      <c r="D125" s="2">
        <f t="shared" si="1"/>
        <v>561.13613205348724</v>
      </c>
    </row>
    <row r="126" spans="1:4" x14ac:dyDescent="0.3">
      <c r="A126" s="1">
        <v>45078</v>
      </c>
      <c r="B126" s="2">
        <v>362.11305518169581</v>
      </c>
      <c r="C126" s="2">
        <v>357.79999999999995</v>
      </c>
      <c r="D126" s="2">
        <f t="shared" si="1"/>
        <v>591.95266472103833</v>
      </c>
    </row>
    <row r="127" spans="1:4" x14ac:dyDescent="0.3">
      <c r="A127" s="1">
        <v>45108</v>
      </c>
      <c r="B127" s="2">
        <v>378.23687752355318</v>
      </c>
      <c r="C127" s="2">
        <v>356.55</v>
      </c>
      <c r="D127" s="2">
        <f t="shared" si="1"/>
        <v>628.68453805735646</v>
      </c>
    </row>
    <row r="128" spans="1:4" x14ac:dyDescent="0.3">
      <c r="A128" s="1">
        <v>45139</v>
      </c>
      <c r="B128" s="2">
        <v>379.75100942126517</v>
      </c>
      <c r="C128" s="2">
        <v>356.25</v>
      </c>
      <c r="D128" s="2">
        <f t="shared" si="1"/>
        <v>632.16512272158707</v>
      </c>
    </row>
    <row r="129" spans="1:4" x14ac:dyDescent="0.3">
      <c r="A129" s="1">
        <v>45170</v>
      </c>
      <c r="B129" s="2">
        <v>378.74158815612384</v>
      </c>
      <c r="C129" s="2">
        <v>364.4</v>
      </c>
      <c r="D129" s="2">
        <f t="shared" si="1"/>
        <v>629.84414275562915</v>
      </c>
    </row>
    <row r="130" spans="1:4" x14ac:dyDescent="0.3">
      <c r="A130" s="1">
        <v>45200</v>
      </c>
      <c r="B130" s="2">
        <v>390.90174966352629</v>
      </c>
      <c r="C130" s="2">
        <v>373.5</v>
      </c>
      <c r="D130" s="2">
        <f t="shared" si="1"/>
        <v>657.96022631224866</v>
      </c>
    </row>
    <row r="131" spans="1:4" x14ac:dyDescent="0.3">
      <c r="A131" s="1">
        <v>45231</v>
      </c>
      <c r="B131" s="2">
        <v>410.6123822341857</v>
      </c>
      <c r="C131" s="2">
        <v>372.65</v>
      </c>
      <c r="D131" s="2">
        <f t="shared" ref="D131:D157" si="2">100*(B131/100)^(LN(2*614/100)/LN(614/100))</f>
        <v>704.24523270803206</v>
      </c>
    </row>
    <row r="132" spans="1:4" x14ac:dyDescent="0.3">
      <c r="A132" s="1">
        <v>45261</v>
      </c>
      <c r="B132" s="2">
        <v>430.51816958277254</v>
      </c>
      <c r="C132" s="2">
        <v>382.15</v>
      </c>
      <c r="D132" s="2">
        <f t="shared" si="2"/>
        <v>751.85787699361174</v>
      </c>
    </row>
    <row r="133" spans="1:4" x14ac:dyDescent="0.3">
      <c r="A133" s="1">
        <v>45292</v>
      </c>
      <c r="B133" s="2">
        <v>457.71197846567969</v>
      </c>
      <c r="C133" s="2">
        <v>405</v>
      </c>
      <c r="D133" s="2">
        <f t="shared" si="2"/>
        <v>818.2694774239252</v>
      </c>
    </row>
    <row r="134" spans="1:4" x14ac:dyDescent="0.3">
      <c r="A134" s="1">
        <v>45323</v>
      </c>
      <c r="B134" s="2">
        <v>471.47375504710635</v>
      </c>
      <c r="C134" s="2">
        <v>413.35</v>
      </c>
      <c r="D134" s="2">
        <f t="shared" si="2"/>
        <v>852.46252827511876</v>
      </c>
    </row>
    <row r="135" spans="1:4" x14ac:dyDescent="0.3">
      <c r="A135" s="1">
        <v>45352</v>
      </c>
      <c r="B135" s="2">
        <v>479.32032301480484</v>
      </c>
      <c r="C135" s="2">
        <v>420.6</v>
      </c>
      <c r="D135" s="2">
        <f t="shared" si="2"/>
        <v>872.13046943816312</v>
      </c>
    </row>
    <row r="136" spans="1:4" x14ac:dyDescent="0.3">
      <c r="A136" s="1">
        <v>45383</v>
      </c>
      <c r="B136" s="2">
        <v>496.66218034993267</v>
      </c>
      <c r="C136" s="2">
        <v>420.15</v>
      </c>
      <c r="D136" s="2">
        <f t="shared" si="2"/>
        <v>916.03482811033882</v>
      </c>
    </row>
    <row r="137" spans="1:4" x14ac:dyDescent="0.3">
      <c r="A137" s="1">
        <v>45413</v>
      </c>
      <c r="B137" s="2">
        <v>507.05248990578735</v>
      </c>
      <c r="C137" s="2">
        <v>412.35</v>
      </c>
      <c r="D137" s="2">
        <f t="shared" si="2"/>
        <v>942.62318929642208</v>
      </c>
    </row>
    <row r="138" spans="1:4" x14ac:dyDescent="0.3">
      <c r="A138" s="1">
        <v>45444</v>
      </c>
      <c r="B138" s="2">
        <v>517.28129205921937</v>
      </c>
      <c r="C138" s="2">
        <v>410.15</v>
      </c>
      <c r="D138" s="2">
        <f t="shared" si="2"/>
        <v>969.00234872237286</v>
      </c>
    </row>
    <row r="139" spans="1:4" x14ac:dyDescent="0.3">
      <c r="A139" s="1">
        <v>45474</v>
      </c>
      <c r="B139" s="2">
        <v>536.80349932705246</v>
      </c>
      <c r="C139" s="2">
        <v>425.79999999999995</v>
      </c>
      <c r="D139" s="2">
        <f t="shared" si="2"/>
        <v>1019.9014307405479</v>
      </c>
    </row>
    <row r="140" spans="1:4" x14ac:dyDescent="0.3">
      <c r="A140" s="1">
        <v>45505</v>
      </c>
      <c r="B140" s="2">
        <v>561.40646029609695</v>
      </c>
      <c r="C140" s="2">
        <v>447.5</v>
      </c>
      <c r="D140" s="2">
        <f t="shared" si="2"/>
        <v>1085.0594556082988</v>
      </c>
    </row>
    <row r="141" spans="1:4" x14ac:dyDescent="0.3">
      <c r="A141" s="1">
        <v>45536</v>
      </c>
      <c r="B141" s="2">
        <v>586.61507402422615</v>
      </c>
      <c r="C141" s="2">
        <v>454.45</v>
      </c>
      <c r="D141" s="2">
        <f t="shared" si="2"/>
        <v>1152.962258718605</v>
      </c>
    </row>
    <row r="142" spans="1:4" x14ac:dyDescent="0.3">
      <c r="A142" s="1">
        <v>45566</v>
      </c>
      <c r="B142" s="2">
        <v>592.44279946164204</v>
      </c>
      <c r="C142" s="2">
        <v>467.15</v>
      </c>
      <c r="D142" s="2">
        <f t="shared" si="2"/>
        <v>1168.8210618534156</v>
      </c>
    </row>
    <row r="143" spans="1:4" x14ac:dyDescent="0.3">
      <c r="A143" s="1">
        <v>45597</v>
      </c>
      <c r="B143" s="2">
        <v>575.16823687752355</v>
      </c>
      <c r="C143" s="2">
        <v>466.15</v>
      </c>
      <c r="D143" s="2">
        <f t="shared" si="2"/>
        <v>1121.9875392609883</v>
      </c>
    </row>
    <row r="144" spans="1:4" x14ac:dyDescent="0.3">
      <c r="A144" s="1">
        <v>45627</v>
      </c>
      <c r="B144" s="2">
        <v>576.25168236877528</v>
      </c>
      <c r="C144" s="2">
        <v>463.20000000000005</v>
      </c>
      <c r="D144" s="2">
        <f t="shared" si="2"/>
        <v>1124.9092978081053</v>
      </c>
    </row>
    <row r="145" spans="1:4" x14ac:dyDescent="0.3">
      <c r="A145" s="1">
        <v>45658</v>
      </c>
      <c r="B145" s="2">
        <v>575.57200538358006</v>
      </c>
      <c r="C145" s="2">
        <v>471.9</v>
      </c>
      <c r="D145" s="2">
        <f t="shared" si="2"/>
        <v>1123.0761478783306</v>
      </c>
    </row>
    <row r="146" spans="1:4" x14ac:dyDescent="0.3">
      <c r="A146" s="1">
        <v>45689</v>
      </c>
      <c r="B146" s="2">
        <v>562.62449528936747</v>
      </c>
      <c r="C146" s="2">
        <v>465.85</v>
      </c>
      <c r="D146" s="2">
        <f t="shared" si="2"/>
        <v>1088.3141011442578</v>
      </c>
    </row>
    <row r="147" spans="1:4" x14ac:dyDescent="0.3">
      <c r="A147" s="1">
        <v>45717</v>
      </c>
      <c r="B147" s="2">
        <v>562.72543741588152</v>
      </c>
      <c r="C147" s="2">
        <v>465.45</v>
      </c>
      <c r="D147" s="2">
        <f t="shared" si="2"/>
        <v>1088.5839440018269</v>
      </c>
    </row>
    <row r="148" spans="1:4" x14ac:dyDescent="0.3">
      <c r="A148" s="1">
        <v>45748</v>
      </c>
      <c r="B148" s="2">
        <v>547.79273216689091</v>
      </c>
      <c r="C148" s="2">
        <v>466.95</v>
      </c>
      <c r="D148" s="2">
        <f t="shared" si="2"/>
        <v>1048.8672404616575</v>
      </c>
    </row>
    <row r="149" spans="1:4" x14ac:dyDescent="0.3">
      <c r="A149" s="1">
        <v>45778</v>
      </c>
      <c r="B149" s="2">
        <v>553.95020188425303</v>
      </c>
      <c r="C149" s="2">
        <v>478.35</v>
      </c>
      <c r="D149" s="2">
        <f t="shared" si="2"/>
        <v>1065.1948881992573</v>
      </c>
    </row>
    <row r="150" spans="1:4" x14ac:dyDescent="0.3">
      <c r="A150" s="1">
        <v>45809</v>
      </c>
      <c r="B150" s="2">
        <v>568.08882907133238</v>
      </c>
      <c r="C150" s="2">
        <v>490</v>
      </c>
      <c r="D150" s="2">
        <f t="shared" si="2"/>
        <v>1102.9481319995778</v>
      </c>
    </row>
    <row r="151" spans="1:4" x14ac:dyDescent="0.3">
      <c r="A151" s="1">
        <v>45839</v>
      </c>
      <c r="B151" s="2">
        <v>586.90444145356662</v>
      </c>
      <c r="C151" s="2">
        <v>505.5</v>
      </c>
      <c r="D151" s="2">
        <f t="shared" si="2"/>
        <v>1153.7482910362935</v>
      </c>
    </row>
    <row r="152" spans="1:4" x14ac:dyDescent="0.3">
      <c r="A152" s="1">
        <v>45870</v>
      </c>
      <c r="B152" s="2">
        <v>588.20323014804842</v>
      </c>
      <c r="C152" s="2">
        <v>501.35</v>
      </c>
      <c r="D152" s="2">
        <f t="shared" si="2"/>
        <v>1157.2781192038638</v>
      </c>
    </row>
    <row r="153" spans="1:4" x14ac:dyDescent="0.3">
      <c r="A153" s="1">
        <v>45901</v>
      </c>
      <c r="B153" s="2">
        <v>589.05114401076708</v>
      </c>
      <c r="C153" s="2">
        <v>489.8</v>
      </c>
      <c r="D153" s="2">
        <f t="shared" si="2"/>
        <v>1159.5841736386894</v>
      </c>
    </row>
    <row r="154" spans="1:4" x14ac:dyDescent="0.3">
      <c r="A154" s="1">
        <v>45931</v>
      </c>
      <c r="B154" s="2">
        <v>603.84925975773888</v>
      </c>
      <c r="C154" s="2">
        <v>499.15000000000003</v>
      </c>
      <c r="D154" s="2">
        <f t="shared" si="2"/>
        <v>1200.0335277805091</v>
      </c>
    </row>
    <row r="155" spans="1:4" x14ac:dyDescent="0.3">
      <c r="A155" s="1">
        <v>45962</v>
      </c>
      <c r="B155" s="2">
        <v>612.63122476446836</v>
      </c>
      <c r="C155" s="2">
        <v>509.1</v>
      </c>
      <c r="D155" s="2">
        <f t="shared" si="2"/>
        <v>1224.2184913251212</v>
      </c>
    </row>
    <row r="156" spans="1:4" x14ac:dyDescent="0.3">
      <c r="A156" s="1">
        <v>45992</v>
      </c>
      <c r="B156" s="2">
        <v>614.06460296096895</v>
      </c>
      <c r="C156" s="2">
        <v>516.04999999999995</v>
      </c>
      <c r="D156" s="2">
        <f t="shared" si="2"/>
        <v>1228.1785579223347</v>
      </c>
    </row>
    <row r="157" spans="1:4" x14ac:dyDescent="0.3">
      <c r="A157" s="1">
        <v>46023</v>
      </c>
      <c r="B157" s="2">
        <v>614.07133243606995</v>
      </c>
      <c r="C157" s="2">
        <v>524.15</v>
      </c>
      <c r="D157" s="2">
        <f t="shared" si="2"/>
        <v>1228.1971581185394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Manideep Gadi</cp:lastModifiedBy>
  <dcterms:created xsi:type="dcterms:W3CDTF">2026-01-24T10:24:03Z</dcterms:created>
  <dcterms:modified xsi:type="dcterms:W3CDTF">2026-01-24T12:08:32Z</dcterms:modified>
</cp:coreProperties>
</file>